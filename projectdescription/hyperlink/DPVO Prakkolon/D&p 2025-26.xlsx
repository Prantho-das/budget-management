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PC\Downloads\e budget\content\2025-26\DPVO Prakkolon\"/>
    </mc:Choice>
  </mc:AlternateContent>
  <bookViews>
    <workbookView xWindow="0" yWindow="0" windowWidth="23016" windowHeight="7464"/>
  </bookViews>
  <sheets>
    <sheet name="25-26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1" i="2" l="1"/>
  <c r="D69" i="2"/>
  <c r="D63" i="2"/>
  <c r="D56" i="2"/>
  <c r="D53" i="2"/>
  <c r="D45" i="2"/>
  <c r="D32" i="2"/>
  <c r="D33" i="2" s="1"/>
  <c r="D70" i="2" l="1"/>
  <c r="D83" i="2" s="1"/>
  <c r="J32" i="2" l="1"/>
  <c r="J33" i="2" s="1"/>
  <c r="H69" i="2"/>
  <c r="H81" i="2"/>
  <c r="H82" i="2" s="1"/>
  <c r="I81" i="2"/>
  <c r="J81" i="2"/>
  <c r="J82" i="2" s="1"/>
  <c r="I69" i="2"/>
  <c r="J69" i="2"/>
  <c r="I63" i="2"/>
  <c r="J63" i="2"/>
  <c r="I59" i="2"/>
  <c r="J59" i="2"/>
  <c r="I56" i="2"/>
  <c r="J56" i="2"/>
  <c r="I53" i="2"/>
  <c r="J53" i="2"/>
  <c r="I49" i="2"/>
  <c r="J49" i="2"/>
  <c r="I45" i="2"/>
  <c r="J45" i="2"/>
  <c r="I32" i="2"/>
  <c r="I33" i="2" s="1"/>
  <c r="H63" i="2"/>
  <c r="H59" i="2"/>
  <c r="H56" i="2"/>
  <c r="H53" i="2"/>
  <c r="H49" i="2"/>
  <c r="H45" i="2"/>
  <c r="H32" i="2"/>
  <c r="H33" i="2" s="1"/>
  <c r="G67" i="2"/>
  <c r="G66" i="2"/>
  <c r="G65" i="2"/>
  <c r="G59" i="2"/>
  <c r="G56" i="2"/>
  <c r="G53" i="2"/>
  <c r="G49" i="2"/>
  <c r="G23" i="2"/>
  <c r="G17" i="2"/>
  <c r="J70" i="2" l="1"/>
  <c r="J83" i="2" s="1"/>
  <c r="I70" i="2"/>
  <c r="H70" i="2"/>
  <c r="H83" i="2" s="1"/>
  <c r="I82" i="2"/>
  <c r="G69" i="2"/>
  <c r="G63" i="2"/>
  <c r="G81" i="2"/>
  <c r="G82" i="2" s="1"/>
  <c r="G32" i="2"/>
  <c r="G33" i="2" s="1"/>
  <c r="G45" i="2"/>
  <c r="I83" i="2" l="1"/>
  <c r="G70" i="2"/>
  <c r="G83" i="2" s="1"/>
  <c r="F81" i="2"/>
  <c r="F82" i="2" s="1"/>
  <c r="F69" i="2"/>
  <c r="F63" i="2"/>
  <c r="F59" i="2"/>
  <c r="F56" i="2"/>
  <c r="F53" i="2"/>
  <c r="F49" i="2"/>
  <c r="F45" i="2"/>
  <c r="F32" i="2"/>
  <c r="F33" i="2" s="1"/>
  <c r="E81" i="2"/>
  <c r="E82" i="2" s="1"/>
  <c r="E69" i="2"/>
  <c r="E63" i="2"/>
  <c r="E59" i="2"/>
  <c r="E56" i="2"/>
  <c r="E53" i="2"/>
  <c r="E49" i="2"/>
  <c r="E45" i="2"/>
  <c r="E32" i="2"/>
  <c r="E33" i="2" s="1"/>
  <c r="E70" i="2" l="1"/>
  <c r="E83" i="2" s="1"/>
  <c r="F70" i="2"/>
  <c r="F83" i="2" s="1"/>
</calcChain>
</file>

<file path=xl/sharedStrings.xml><?xml version="1.0" encoding="utf-8"?>
<sst xmlns="http://schemas.openxmlformats.org/spreadsheetml/2006/main" count="100" uniqueCount="89">
  <si>
    <t>Kg©Pvix‡`i cÖwZ`vb</t>
  </si>
  <si>
    <t>g~j †eZb (Awdmvi)</t>
  </si>
  <si>
    <t>QzwU bM`vqb †eZb(Awdmvi)</t>
  </si>
  <si>
    <t>g~j †eZb (Kg©Pvix)</t>
  </si>
  <si>
    <t>QzwU bM`vqb †eZb(Kg©Pvix)</t>
  </si>
  <si>
    <t>hvZvqvZ fvZv</t>
  </si>
  <si>
    <t>wkÿv fvZv</t>
  </si>
  <si>
    <t>cvnvwo fvZv</t>
  </si>
  <si>
    <t>evwo fvov fvZv</t>
  </si>
  <si>
    <t>wPwKrmv fvZv</t>
  </si>
  <si>
    <t>‡gvevBj ev †mj‡dvb fvZv</t>
  </si>
  <si>
    <t>AvevwmK †Uwj‡dvb bM`vqb fvZv</t>
  </si>
  <si>
    <t>wUwdb fvZv</t>
  </si>
  <si>
    <t>‡avjvB fvZv</t>
  </si>
  <si>
    <t>Drme fvZv</t>
  </si>
  <si>
    <t>AwaKvj fvZv</t>
  </si>
  <si>
    <t>kÖvwšÍ I we‡bv`b fvZv</t>
  </si>
  <si>
    <t>Avc¨vqb fvZv</t>
  </si>
  <si>
    <t>evsjv beel© fvZv</t>
  </si>
  <si>
    <t>Ab¨vb¨ fvZv</t>
  </si>
  <si>
    <t>‡Lvi‡cvl fvZv(mvm‡cbkb)</t>
  </si>
  <si>
    <t>we‡kl myweav</t>
  </si>
  <si>
    <t xml:space="preserve">Dc-‡gvU </t>
  </si>
  <si>
    <t>cb¨ I †mevi e¨envi</t>
  </si>
  <si>
    <t>cwi¯‹vi cwi”QbœZv mvgMÖx</t>
  </si>
  <si>
    <t>Avbylvw½K Kg©Pvix/cÖwZôvb</t>
  </si>
  <si>
    <t>Avc¨vqb e¨q</t>
  </si>
  <si>
    <t>we`y¨r</t>
  </si>
  <si>
    <t>cvwb</t>
  </si>
  <si>
    <t>B›Uvi‡bU/d¨v·/‡U‡j·</t>
  </si>
  <si>
    <t>WvK</t>
  </si>
  <si>
    <t>‡Uwj‡dvb</t>
  </si>
  <si>
    <t>eBcÎ &amp;I mvgwqKx</t>
  </si>
  <si>
    <t>‡c‡Uªvj, I‡qj I jyweª‡K›U</t>
  </si>
  <si>
    <t>M¨vm I R¡vjvwb</t>
  </si>
  <si>
    <t>ågY e¨q</t>
  </si>
  <si>
    <t>Ab¨vb¨ gwbnvwi</t>
  </si>
  <si>
    <t>‡cvkvK</t>
  </si>
  <si>
    <t>Abyôvb/Drmevw`</t>
  </si>
  <si>
    <t>‡gvUihvb</t>
  </si>
  <si>
    <t>AvmevecÎ</t>
  </si>
  <si>
    <t>Kw¤úDUvi</t>
  </si>
  <si>
    <t>Ab¨vb¨ hš¿cvwZ I miÄvgvw`</t>
  </si>
  <si>
    <t>A-Avw_©K m¤ú`</t>
  </si>
  <si>
    <t>Z_¨ ‡hvMv‡hvM cÖhyw³ miÄvgvw`</t>
  </si>
  <si>
    <t>Kw¤úDUvi I Avbylw½K</t>
  </si>
  <si>
    <t>K¨v‡giv I Avbylw½K</t>
  </si>
  <si>
    <t>‰e`y¨wZK miÄvgvw`</t>
  </si>
  <si>
    <t>AwMœwbe©vcK miÄvg</t>
  </si>
  <si>
    <t>Awdm miÄvgvw`</t>
  </si>
  <si>
    <t>m¤§vbx</t>
  </si>
  <si>
    <t>Bwg‡MÖkb I cvm‡cvU© Awa`ßi</t>
  </si>
  <si>
    <t xml:space="preserve">WvUv GÛ cv‡m©vbvjvB‡Rkb †m›Uvi </t>
  </si>
  <si>
    <t>AvMviMvuI, XvKv|</t>
  </si>
  <si>
    <t>cwiPvjK</t>
  </si>
  <si>
    <t>WvUv GÛ cv‡m©vbvjvB‡Rkb †m›Uvi</t>
  </si>
  <si>
    <t>‡c‡U&amp;ªvj I I‡qj</t>
  </si>
  <si>
    <t xml:space="preserve"> Af¨šÍixY ågY e¨q</t>
  </si>
  <si>
    <t>e`wj</t>
  </si>
  <si>
    <t>Dc-‡gvU</t>
  </si>
  <si>
    <t xml:space="preserve">gy`ªY I gwbnvwi </t>
  </si>
  <si>
    <t>mvaviY I mieivn I KvuPvgvj mvgMÖx</t>
  </si>
  <si>
    <t>‡ckMZ †mev I m¤§vbx</t>
  </si>
  <si>
    <t>‡gvivgZ I msiÿY</t>
  </si>
  <si>
    <t>Dc‡gvU</t>
  </si>
  <si>
    <t>উপমোট</t>
  </si>
  <si>
    <t>অআর্থিক সম্পদ</t>
  </si>
  <si>
    <t xml:space="preserve">mi©‡gvU </t>
  </si>
  <si>
    <t xml:space="preserve">সাধারণ কার্যক্রম        </t>
  </si>
  <si>
    <t>(অংকসমূহ হাজার টাকায়)</t>
  </si>
  <si>
    <t>অর্থনৈতিক গ্রুপ/কোড</t>
  </si>
  <si>
    <t>বিবরণ</t>
  </si>
  <si>
    <t>বাজেট</t>
  </si>
  <si>
    <t>প্রাক্কলন</t>
  </si>
  <si>
    <t>প্রক্ষেপণ</t>
  </si>
  <si>
    <t>ব্যাখ্যামূলক মন্তব্য</t>
  </si>
  <si>
    <t>২০২৫-২৬</t>
  </si>
  <si>
    <t>২০২৬-২৭</t>
  </si>
  <si>
    <t>নগদ মজুরি ও বেতন</t>
  </si>
  <si>
    <t>MYcÖRvZš¿x evsjv‡`k miKvi</t>
  </si>
  <si>
    <t>cÖPvi I weÁvcb</t>
  </si>
  <si>
    <t>2023-24</t>
  </si>
  <si>
    <t>2024-25</t>
  </si>
  <si>
    <t>cÖK…Z e¨h</t>
  </si>
  <si>
    <t>2022-23</t>
  </si>
  <si>
    <t>১ম 6 মাস ২০২4-25</t>
  </si>
  <si>
    <t xml:space="preserve">
সংশোধিত</t>
  </si>
  <si>
    <t>২০২4-25</t>
  </si>
  <si>
    <t>2027-28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</si>
</sst>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5000445]0"/>
    <numFmt numFmtId="165" formatCode="0;[Red]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SutonnyMJ"/>
    </font>
    <font>
      <b/>
      <sz val="10"/>
      <name val="SutonnyMJ"/>
    </font>
    <font>
      <sz val="11"/>
      <name val="SutonnyMJ"/>
    </font>
    <font>
      <b/>
      <sz val="9"/>
      <name val="SutonnyMJ"/>
    </font>
    <font>
      <b/>
      <sz val="11"/>
      <name val="SutonnyMJ"/>
    </font>
    <font>
      <b/>
      <sz val="14"/>
      <name val="SutonnyMJ"/>
    </font>
    <font>
      <sz val="8"/>
      <name val="SutonnyMJ"/>
    </font>
    <font>
      <sz val="12"/>
      <name val="SutonnyMJ"/>
    </font>
    <font>
      <b/>
      <sz val="11"/>
      <name val="Nikosh"/>
    </font>
    <font>
      <b/>
      <sz val="14"/>
      <name val="Nikosh"/>
    </font>
    <font>
      <sz val="14"/>
      <name val="Nikosh"/>
    </font>
    <font>
      <sz val="11"/>
      <name val="Nikosh"/>
    </font>
    <font>
      <sz val="10"/>
      <name val="SutonnyMJ"/>
    </font>
    <font>
      <sz val="12"/>
      <color theme="1" tint="0.249977111117893"/>
      <name val="SutonnyMJ"/>
    </font>
    <font>
      <b/>
      <sz val="12"/>
      <name val="SutonnyMJ"/>
    </font>
    <font>
      <sz val="11"/>
      <color theme="1"/>
      <name val="SutonnyMJ"/>
    </font>
    <font>
      <sz val="8"/>
      <name val="Calibri"/>
      <family val="2"/>
      <scheme val="minor"/>
    </font>
    <font>
      <b/>
      <sz val="16"/>
      <name val="SutonnyMJ"/>
    </font>
    <font>
      <sz val="12"/>
      <name val="Nikosh"/>
    </font>
    <font>
      <sz val="8"/>
      <name val="Nikosh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4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/>
    </xf>
    <xf numFmtId="3" fontId="2" fillId="0" borderId="1" xfId="1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3" fontId="2" fillId="0" borderId="1" xfId="1" applyNumberFormat="1" applyFont="1" applyBorder="1" applyAlignment="1">
      <alignment vertical="center"/>
    </xf>
    <xf numFmtId="3" fontId="2" fillId="0" borderId="1" xfId="1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vertical="top" wrapText="1"/>
    </xf>
    <xf numFmtId="3" fontId="2" fillId="0" borderId="1" xfId="1" applyNumberFormat="1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vertical="center"/>
    </xf>
    <xf numFmtId="3" fontId="3" fillId="2" borderId="1" xfId="1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vertical="center"/>
    </xf>
    <xf numFmtId="3" fontId="2" fillId="2" borderId="1" xfId="1" applyNumberFormat="1" applyFont="1" applyFill="1" applyBorder="1" applyAlignment="1">
      <alignment horizontal="right" vertical="center" wrapText="1"/>
    </xf>
    <xf numFmtId="1" fontId="6" fillId="2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3" fontId="2" fillId="2" borderId="1" xfId="1" applyNumberFormat="1" applyFont="1" applyFill="1" applyBorder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3" fontId="2" fillId="3" borderId="0" xfId="1" applyNumberFormat="1" applyFont="1" applyFill="1" applyBorder="1" applyAlignment="1">
      <alignment vertical="center" wrapText="1"/>
    </xf>
    <xf numFmtId="3" fontId="5" fillId="0" borderId="1" xfId="1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vertical="center"/>
    </xf>
    <xf numFmtId="3" fontId="0" fillId="0" borderId="0" xfId="0" applyNumberFormat="1"/>
    <xf numFmtId="1" fontId="9" fillId="2" borderId="1" xfId="0" applyNumberFormat="1" applyFont="1" applyFill="1" applyBorder="1" applyAlignment="1">
      <alignment vertical="center" wrapText="1"/>
    </xf>
    <xf numFmtId="1" fontId="6" fillId="3" borderId="1" xfId="0" applyNumberFormat="1" applyFont="1" applyFill="1" applyBorder="1" applyAlignment="1">
      <alignment horizontal="right" vertical="center" wrapText="1"/>
    </xf>
    <xf numFmtId="3" fontId="3" fillId="3" borderId="1" xfId="1" applyNumberFormat="1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/>
    </xf>
    <xf numFmtId="3" fontId="2" fillId="3" borderId="1" xfId="1" applyNumberFormat="1" applyFont="1" applyFill="1" applyBorder="1" applyAlignment="1">
      <alignment vertical="center" wrapText="1"/>
    </xf>
    <xf numFmtId="3" fontId="8" fillId="3" borderId="1" xfId="1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0" fillId="3" borderId="0" xfId="0" applyFill="1"/>
    <xf numFmtId="1" fontId="2" fillId="3" borderId="1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3" fontId="3" fillId="3" borderId="1" xfId="1" applyNumberFormat="1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right" wrapText="1"/>
    </xf>
    <xf numFmtId="0" fontId="10" fillId="3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left" wrapText="1"/>
    </xf>
    <xf numFmtId="0" fontId="13" fillId="3" borderId="3" xfId="0" applyFont="1" applyFill="1" applyBorder="1" applyAlignment="1">
      <alignment wrapText="1"/>
    </xf>
    <xf numFmtId="164" fontId="10" fillId="3" borderId="1" xfId="0" applyNumberFormat="1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left" wrapText="1"/>
    </xf>
    <xf numFmtId="1" fontId="5" fillId="0" borderId="1" xfId="0" applyNumberFormat="1" applyFont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5" fontId="3" fillId="2" borderId="1" xfId="1" applyNumberFormat="1" applyFont="1" applyFill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165" fontId="2" fillId="0" borderId="1" xfId="1" applyNumberFormat="1" applyFont="1" applyBorder="1" applyAlignment="1">
      <alignment vertical="center"/>
    </xf>
    <xf numFmtId="165" fontId="3" fillId="3" borderId="1" xfId="1" applyNumberFormat="1" applyFont="1" applyFill="1" applyBorder="1" applyAlignment="1">
      <alignment vertical="center" wrapText="1"/>
    </xf>
    <xf numFmtId="165" fontId="2" fillId="2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horizontal="right" vertical="center" wrapText="1"/>
    </xf>
    <xf numFmtId="165" fontId="2" fillId="2" borderId="1" xfId="1" applyNumberFormat="1" applyFont="1" applyFill="1" applyBorder="1" applyAlignment="1">
      <alignment horizontal="right" vertical="center" wrapText="1"/>
    </xf>
    <xf numFmtId="165" fontId="2" fillId="0" borderId="1" xfId="1" applyNumberFormat="1" applyFont="1" applyBorder="1" applyAlignment="1">
      <alignment horizontal="right" vertical="top" wrapText="1"/>
    </xf>
    <xf numFmtId="165" fontId="3" fillId="2" borderId="1" xfId="1" applyNumberFormat="1" applyFont="1" applyFill="1" applyBorder="1" applyAlignment="1">
      <alignment horizontal="right" vertical="center" wrapText="1"/>
    </xf>
    <xf numFmtId="165" fontId="5" fillId="0" borderId="1" xfId="1" applyNumberFormat="1" applyFont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9" fillId="0" borderId="1" xfId="1" applyNumberFormat="1" applyFont="1" applyBorder="1" applyAlignment="1">
      <alignment vertical="center" wrapText="1"/>
    </xf>
    <xf numFmtId="165" fontId="9" fillId="2" borderId="1" xfId="1" applyNumberFormat="1" applyFont="1" applyFill="1" applyBorder="1" applyAlignment="1">
      <alignment vertical="center" wrapText="1"/>
    </xf>
    <xf numFmtId="165" fontId="15" fillId="4" borderId="1" xfId="1" applyNumberFormat="1" applyFont="1" applyFill="1" applyBorder="1" applyAlignment="1">
      <alignment vertical="center" wrapText="1"/>
    </xf>
    <xf numFmtId="165" fontId="9" fillId="4" borderId="1" xfId="1" applyNumberFormat="1" applyFont="1" applyFill="1" applyBorder="1" applyAlignment="1">
      <alignment vertical="center" wrapText="1"/>
    </xf>
    <xf numFmtId="165" fontId="14" fillId="0" borderId="1" xfId="1" applyNumberFormat="1" applyFont="1" applyBorder="1" applyAlignment="1">
      <alignment vertical="center" wrapText="1"/>
    </xf>
    <xf numFmtId="165" fontId="2" fillId="3" borderId="0" xfId="1" applyNumberFormat="1" applyFont="1" applyFill="1" applyBorder="1" applyAlignment="1">
      <alignment vertical="center" wrapText="1"/>
    </xf>
    <xf numFmtId="165" fontId="2" fillId="3" borderId="1" xfId="1" applyNumberFormat="1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3" fontId="5" fillId="2" borderId="1" xfId="1" applyNumberFormat="1" applyFont="1" applyFill="1" applyBorder="1" applyAlignment="1">
      <alignment vertical="center" wrapText="1"/>
    </xf>
    <xf numFmtId="165" fontId="5" fillId="2" borderId="1" xfId="1" applyNumberFormat="1" applyFont="1" applyFill="1" applyBorder="1" applyAlignment="1">
      <alignment vertical="center" wrapText="1"/>
    </xf>
    <xf numFmtId="1" fontId="16" fillId="0" borderId="8" xfId="0" applyNumberFormat="1" applyFont="1" applyBorder="1" applyAlignment="1">
      <alignment horizontal="center" vertical="center" wrapText="1"/>
    </xf>
    <xf numFmtId="1" fontId="16" fillId="0" borderId="8" xfId="0" applyNumberFormat="1" applyFont="1" applyBorder="1" applyAlignment="1">
      <alignment vertical="center" wrapText="1"/>
    </xf>
    <xf numFmtId="3" fontId="3" fillId="0" borderId="8" xfId="0" applyNumberFormat="1" applyFont="1" applyBorder="1" applyAlignment="1">
      <alignment vertical="center" wrapText="1"/>
    </xf>
    <xf numFmtId="3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165" fontId="3" fillId="0" borderId="8" xfId="0" applyNumberFormat="1" applyFont="1" applyBorder="1" applyAlignment="1">
      <alignment vertical="center" wrapText="1"/>
    </xf>
    <xf numFmtId="165" fontId="6" fillId="0" borderId="8" xfId="1" applyNumberFormat="1" applyFont="1" applyBorder="1" applyAlignment="1">
      <alignment horizontal="right" vertical="center" wrapText="1"/>
    </xf>
    <xf numFmtId="0" fontId="0" fillId="0" borderId="8" xfId="0" applyBorder="1"/>
    <xf numFmtId="1" fontId="6" fillId="3" borderId="0" xfId="0" applyNumberFormat="1" applyFont="1" applyFill="1" applyAlignment="1">
      <alignment horizontal="right" vertical="center" wrapText="1"/>
    </xf>
    <xf numFmtId="3" fontId="3" fillId="3" borderId="0" xfId="1" applyNumberFormat="1" applyFont="1" applyFill="1" applyBorder="1" applyAlignment="1">
      <alignment horizontal="right" vertical="center" wrapText="1"/>
    </xf>
    <xf numFmtId="3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65" fontId="3" fillId="3" borderId="0" xfId="1" applyNumberFormat="1" applyFont="1" applyFill="1" applyBorder="1" applyAlignment="1">
      <alignment horizontal="right" vertical="center" wrapText="1"/>
    </xf>
    <xf numFmtId="165" fontId="3" fillId="3" borderId="1" xfId="1" applyNumberFormat="1" applyFont="1" applyFill="1" applyBorder="1" applyAlignment="1">
      <alignment horizontal="right" vertical="center" wrapText="1"/>
    </xf>
    <xf numFmtId="165" fontId="8" fillId="0" borderId="1" xfId="1" applyNumberFormat="1" applyFont="1" applyBorder="1" applyAlignment="1">
      <alignment vertical="center" wrapText="1"/>
    </xf>
    <xf numFmtId="165" fontId="8" fillId="2" borderId="1" xfId="1" applyNumberFormat="1" applyFont="1" applyFill="1" applyBorder="1" applyAlignment="1">
      <alignment vertical="center" wrapText="1"/>
    </xf>
    <xf numFmtId="165" fontId="8" fillId="3" borderId="1" xfId="1" applyNumberFormat="1" applyFont="1" applyFill="1" applyBorder="1" applyAlignment="1">
      <alignment vertical="center" wrapText="1"/>
    </xf>
    <xf numFmtId="0" fontId="17" fillId="0" borderId="1" xfId="0" applyFont="1" applyBorder="1"/>
    <xf numFmtId="1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vertical="center" wrapText="1"/>
    </xf>
    <xf numFmtId="0" fontId="0" fillId="5" borderId="0" xfId="0" applyFill="1"/>
    <xf numFmtId="165" fontId="6" fillId="2" borderId="1" xfId="0" applyNumberFormat="1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top" wrapText="1"/>
    </xf>
    <xf numFmtId="165" fontId="6" fillId="2" borderId="1" xfId="0" applyNumberFormat="1" applyFont="1" applyFill="1" applyBorder="1" applyAlignment="1">
      <alignment horizontal="right" vertical="center" wrapText="1"/>
    </xf>
    <xf numFmtId="165" fontId="6" fillId="3" borderId="0" xfId="0" applyNumberFormat="1" applyFont="1" applyFill="1" applyAlignment="1">
      <alignment horizontal="right" vertical="center" wrapText="1"/>
    </xf>
    <xf numFmtId="165" fontId="6" fillId="3" borderId="1" xfId="0" applyNumberFormat="1" applyFont="1" applyFill="1" applyBorder="1" applyAlignment="1">
      <alignment horizontal="right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7" fillId="2" borderId="1" xfId="0" applyFont="1" applyFill="1" applyBorder="1"/>
    <xf numFmtId="1" fontId="13" fillId="3" borderId="8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7" fillId="0" borderId="0" xfId="0" applyFont="1" applyBorder="1"/>
    <xf numFmtId="3" fontId="5" fillId="3" borderId="1" xfId="1" applyNumberFormat="1" applyFont="1" applyFill="1" applyBorder="1" applyAlignment="1">
      <alignment horizontal="right" vertical="center" wrapText="1"/>
    </xf>
    <xf numFmtId="3" fontId="17" fillId="3" borderId="1" xfId="0" applyNumberFormat="1" applyFont="1" applyFill="1" applyBorder="1"/>
    <xf numFmtId="165" fontId="5" fillId="3" borderId="1" xfId="1" applyNumberFormat="1" applyFont="1" applyFill="1" applyBorder="1" applyAlignment="1">
      <alignment horizontal="right" vertical="center" wrapText="1"/>
    </xf>
    <xf numFmtId="165" fontId="17" fillId="3" borderId="1" xfId="0" applyNumberFormat="1" applyFont="1" applyFill="1" applyBorder="1"/>
    <xf numFmtId="1" fontId="6" fillId="3" borderId="0" xfId="0" applyNumberFormat="1" applyFont="1" applyFill="1" applyBorder="1" applyAlignment="1">
      <alignment horizontal="right" vertical="center" wrapText="1"/>
    </xf>
    <xf numFmtId="3" fontId="5" fillId="3" borderId="0" xfId="1" applyNumberFormat="1" applyFont="1" applyFill="1" applyBorder="1" applyAlignment="1">
      <alignment horizontal="right" vertical="center" wrapText="1"/>
    </xf>
    <xf numFmtId="3" fontId="17" fillId="3" borderId="0" xfId="0" applyNumberFormat="1" applyFont="1" applyFill="1" applyBorder="1"/>
    <xf numFmtId="165" fontId="5" fillId="3" borderId="0" xfId="1" applyNumberFormat="1" applyFont="1" applyFill="1" applyBorder="1" applyAlignment="1">
      <alignment horizontal="right" vertical="center" wrapText="1"/>
    </xf>
    <xf numFmtId="165" fontId="17" fillId="3" borderId="0" xfId="0" applyNumberFormat="1" applyFont="1" applyFill="1" applyBorder="1"/>
    <xf numFmtId="3" fontId="7" fillId="0" borderId="0" xfId="1" applyNumberFormat="1" applyFont="1" applyBorder="1" applyAlignment="1">
      <alignment vertical="center" wrapText="1"/>
    </xf>
    <xf numFmtId="1" fontId="19" fillId="0" borderId="0" xfId="0" applyNumberFormat="1" applyFont="1" applyAlignment="1">
      <alignment horizontal="center" vertical="center" wrapText="1"/>
    </xf>
    <xf numFmtId="1" fontId="7" fillId="3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 wrapText="1"/>
    </xf>
    <xf numFmtId="0" fontId="12" fillId="3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right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right" vertical="center" wrapText="1"/>
    </xf>
    <xf numFmtId="1" fontId="6" fillId="3" borderId="1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" fontId="13" fillId="3" borderId="7" xfId="0" applyNumberFormat="1" applyFont="1" applyFill="1" applyBorder="1" applyAlignment="1">
      <alignment horizontal="center" vertical="center" wrapText="1"/>
    </xf>
    <xf numFmtId="1" fontId="13" fillId="3" borderId="6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3" fontId="7" fillId="0" borderId="0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tabSelected="1" topLeftCell="A67" workbookViewId="0">
      <selection activeCell="H87" sqref="H87:K87"/>
    </sheetView>
  </sheetViews>
  <sheetFormatPr defaultRowHeight="14.4" x14ac:dyDescent="0.3"/>
  <cols>
    <col min="1" max="1" width="10.5546875" customWidth="1"/>
    <col min="2" max="2" width="23" customWidth="1"/>
    <col min="3" max="3" width="9.109375" customWidth="1"/>
    <col min="4" max="4" width="7.88671875" customWidth="1"/>
    <col min="5" max="5" width="10.33203125" customWidth="1"/>
    <col min="6" max="6" width="9.109375" customWidth="1"/>
    <col min="7" max="7" width="7.44140625" customWidth="1"/>
    <col min="8" max="8" width="8.44140625" customWidth="1"/>
    <col min="9" max="9" width="10" customWidth="1"/>
    <col min="10" max="10" width="11.109375" customWidth="1"/>
    <col min="13" max="13" width="10" bestFit="1" customWidth="1"/>
    <col min="15" max="15" width="22.5546875" customWidth="1"/>
    <col min="16" max="16" width="20.5546875" customWidth="1"/>
    <col min="17" max="17" width="10.109375" bestFit="1" customWidth="1"/>
  </cols>
  <sheetData>
    <row r="1" spans="1:17" ht="19.5" customHeight="1" x14ac:dyDescent="0.3">
      <c r="A1" s="128" t="s">
        <v>79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7" ht="19.2" x14ac:dyDescent="0.3">
      <c r="A2" s="129" t="s">
        <v>51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</row>
    <row r="3" spans="1:17" ht="18" customHeight="1" x14ac:dyDescent="0.3">
      <c r="A3" s="130" t="s">
        <v>52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</row>
    <row r="4" spans="1:17" ht="18" customHeight="1" x14ac:dyDescent="0.3">
      <c r="A4" s="130" t="s">
        <v>53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</row>
    <row r="5" spans="1:17" ht="19.2" x14ac:dyDescent="0.45">
      <c r="A5" s="131" t="s">
        <v>68</v>
      </c>
      <c r="B5" s="131"/>
      <c r="C5" s="42"/>
      <c r="D5" s="41"/>
      <c r="E5" s="41"/>
      <c r="F5" s="41"/>
      <c r="G5" s="43"/>
      <c r="H5" s="132" t="s">
        <v>69</v>
      </c>
      <c r="I5" s="132"/>
      <c r="J5" s="132"/>
      <c r="K5" s="132"/>
    </row>
    <row r="6" spans="1:17" ht="26.25" customHeight="1" x14ac:dyDescent="0.3">
      <c r="A6" s="133" t="s">
        <v>70</v>
      </c>
      <c r="B6" s="133" t="s">
        <v>71</v>
      </c>
      <c r="C6" s="112" t="s">
        <v>83</v>
      </c>
      <c r="D6" s="137"/>
      <c r="E6" s="138"/>
      <c r="F6" s="113" t="s">
        <v>72</v>
      </c>
      <c r="G6" s="114" t="s">
        <v>86</v>
      </c>
      <c r="H6" s="115" t="s">
        <v>73</v>
      </c>
      <c r="I6" s="139" t="s">
        <v>74</v>
      </c>
      <c r="J6" s="140"/>
      <c r="K6" s="141" t="s">
        <v>75</v>
      </c>
    </row>
    <row r="7" spans="1:17" ht="27" customHeight="1" x14ac:dyDescent="0.35">
      <c r="A7" s="134"/>
      <c r="B7" s="134"/>
      <c r="C7" s="107" t="s">
        <v>84</v>
      </c>
      <c r="D7" s="116" t="s">
        <v>81</v>
      </c>
      <c r="E7" s="108" t="s">
        <v>85</v>
      </c>
      <c r="F7" s="107" t="s">
        <v>82</v>
      </c>
      <c r="G7" s="108" t="s">
        <v>87</v>
      </c>
      <c r="H7" s="111" t="s">
        <v>76</v>
      </c>
      <c r="I7" s="111" t="s">
        <v>77</v>
      </c>
      <c r="J7" s="109" t="s">
        <v>88</v>
      </c>
      <c r="K7" s="142"/>
    </row>
    <row r="8" spans="1:17" ht="15" x14ac:dyDescent="0.3">
      <c r="A8" s="44">
        <v>1</v>
      </c>
      <c r="B8" s="44">
        <v>2</v>
      </c>
      <c r="C8" s="44"/>
      <c r="D8" s="44">
        <v>4</v>
      </c>
      <c r="E8" s="44">
        <v>5</v>
      </c>
      <c r="F8" s="44">
        <v>8</v>
      </c>
      <c r="G8" s="44">
        <v>8</v>
      </c>
      <c r="H8" s="44">
        <v>8</v>
      </c>
      <c r="I8" s="44">
        <v>9</v>
      </c>
      <c r="J8" s="44">
        <v>10</v>
      </c>
      <c r="K8" s="44">
        <v>11</v>
      </c>
    </row>
    <row r="9" spans="1:17" x14ac:dyDescent="0.3">
      <c r="A9" s="1">
        <v>32</v>
      </c>
      <c r="B9" s="2" t="s">
        <v>0</v>
      </c>
      <c r="C9" s="2"/>
      <c r="D9" s="2"/>
      <c r="E9" s="2"/>
      <c r="F9" s="2"/>
      <c r="G9" s="2"/>
      <c r="H9" s="2"/>
      <c r="I9" s="2"/>
      <c r="J9" s="2"/>
      <c r="K9" s="72"/>
    </row>
    <row r="10" spans="1:17" ht="15" x14ac:dyDescent="0.35">
      <c r="A10" s="45">
        <v>3111</v>
      </c>
      <c r="B10" s="46" t="s">
        <v>78</v>
      </c>
      <c r="C10" s="2"/>
      <c r="D10" s="2"/>
      <c r="E10" s="2"/>
      <c r="F10" s="2"/>
      <c r="G10" s="50"/>
      <c r="H10" s="2"/>
      <c r="I10" s="2"/>
      <c r="J10" s="2"/>
      <c r="K10" s="72"/>
    </row>
    <row r="11" spans="1:17" ht="16.8" x14ac:dyDescent="0.35">
      <c r="A11" s="3">
        <v>3111101</v>
      </c>
      <c r="B11" s="4" t="s">
        <v>1</v>
      </c>
      <c r="C11" s="72"/>
      <c r="D11" s="94">
        <v>7786</v>
      </c>
      <c r="E11" s="47">
        <v>4390</v>
      </c>
      <c r="F11" s="47">
        <v>13000</v>
      </c>
      <c r="G11" s="65">
        <v>10000</v>
      </c>
      <c r="H11" s="47">
        <v>14000</v>
      </c>
      <c r="I11" s="47">
        <v>15000</v>
      </c>
      <c r="J11" s="48">
        <v>16000</v>
      </c>
      <c r="K11" s="72"/>
      <c r="Q11" s="24"/>
    </row>
    <row r="12" spans="1:17" ht="16.8" x14ac:dyDescent="0.35">
      <c r="A12" s="3">
        <v>3111110</v>
      </c>
      <c r="B12" s="4" t="s">
        <v>2</v>
      </c>
      <c r="C12" s="72"/>
      <c r="D12" s="94">
        <v>51</v>
      </c>
      <c r="E12" s="47">
        <v>0</v>
      </c>
      <c r="F12" s="47">
        <v>1</v>
      </c>
      <c r="G12" s="65">
        <v>461</v>
      </c>
      <c r="H12" s="47">
        <v>1000</v>
      </c>
      <c r="I12" s="47">
        <v>1500</v>
      </c>
      <c r="J12" s="48">
        <v>2000</v>
      </c>
      <c r="K12" s="72"/>
    </row>
    <row r="13" spans="1:17" ht="16.8" x14ac:dyDescent="0.35">
      <c r="A13" s="3">
        <v>3111201</v>
      </c>
      <c r="B13" s="4" t="s">
        <v>3</v>
      </c>
      <c r="C13" s="72"/>
      <c r="D13" s="94">
        <v>14812</v>
      </c>
      <c r="E13" s="47">
        <v>8342</v>
      </c>
      <c r="F13" s="47">
        <v>21000</v>
      </c>
      <c r="G13" s="65">
        <v>18000</v>
      </c>
      <c r="H13" s="47">
        <v>21000</v>
      </c>
      <c r="I13" s="47">
        <v>25000</v>
      </c>
      <c r="J13" s="48">
        <v>26000</v>
      </c>
      <c r="K13" s="72"/>
    </row>
    <row r="14" spans="1:17" ht="16.8" x14ac:dyDescent="0.35">
      <c r="A14" s="3">
        <v>3111209</v>
      </c>
      <c r="B14" s="4" t="s">
        <v>4</v>
      </c>
      <c r="C14" s="72"/>
      <c r="D14" s="94">
        <v>0</v>
      </c>
      <c r="E14" s="47">
        <v>0</v>
      </c>
      <c r="F14" s="47">
        <v>1</v>
      </c>
      <c r="G14" s="65">
        <v>1</v>
      </c>
      <c r="H14" s="47">
        <v>500</v>
      </c>
      <c r="I14" s="47">
        <v>1000</v>
      </c>
      <c r="J14" s="48">
        <v>1500</v>
      </c>
      <c r="K14" s="72"/>
      <c r="Q14" s="24"/>
    </row>
    <row r="15" spans="1:17" ht="16.8" x14ac:dyDescent="0.35">
      <c r="A15" s="3">
        <v>3111302</v>
      </c>
      <c r="B15" s="4" t="s">
        <v>5</v>
      </c>
      <c r="C15" s="72"/>
      <c r="D15" s="94">
        <v>211</v>
      </c>
      <c r="E15" s="47">
        <v>114</v>
      </c>
      <c r="F15" s="47">
        <v>300</v>
      </c>
      <c r="G15" s="65">
        <v>300</v>
      </c>
      <c r="H15" s="47">
        <v>400</v>
      </c>
      <c r="I15" s="47">
        <v>500</v>
      </c>
      <c r="J15" s="48">
        <v>600</v>
      </c>
      <c r="K15" s="72"/>
    </row>
    <row r="16" spans="1:17" ht="16.8" x14ac:dyDescent="0.35">
      <c r="A16" s="3">
        <v>3111306</v>
      </c>
      <c r="B16" s="5" t="s">
        <v>6</v>
      </c>
      <c r="C16" s="72"/>
      <c r="D16" s="94">
        <v>258</v>
      </c>
      <c r="E16" s="47">
        <v>162</v>
      </c>
      <c r="F16" s="47">
        <v>300</v>
      </c>
      <c r="G16" s="65">
        <v>300</v>
      </c>
      <c r="H16" s="47">
        <v>400</v>
      </c>
      <c r="I16" s="47">
        <v>500</v>
      </c>
      <c r="J16" s="48">
        <v>600</v>
      </c>
      <c r="K16" s="72"/>
    </row>
    <row r="17" spans="1:15" ht="16.8" x14ac:dyDescent="0.35">
      <c r="A17" s="3">
        <v>3111309</v>
      </c>
      <c r="B17" s="5" t="s">
        <v>7</v>
      </c>
      <c r="C17" s="72"/>
      <c r="D17" s="94">
        <v>0</v>
      </c>
      <c r="E17" s="47">
        <v>0</v>
      </c>
      <c r="F17" s="47">
        <v>50</v>
      </c>
      <c r="G17" s="65">
        <f t="shared" ref="G17:G23" si="0">D17+F17</f>
        <v>50</v>
      </c>
      <c r="H17" s="47">
        <v>50</v>
      </c>
      <c r="I17" s="47">
        <v>60</v>
      </c>
      <c r="J17" s="48">
        <v>70</v>
      </c>
      <c r="K17" s="72"/>
    </row>
    <row r="18" spans="1:15" ht="16.8" x14ac:dyDescent="0.35">
      <c r="A18" s="3">
        <v>3111310</v>
      </c>
      <c r="B18" s="4" t="s">
        <v>8</v>
      </c>
      <c r="C18" s="72"/>
      <c r="D18" s="94">
        <v>11396</v>
      </c>
      <c r="E18" s="47">
        <v>6575</v>
      </c>
      <c r="F18" s="48">
        <v>18000</v>
      </c>
      <c r="G18" s="65">
        <v>18000</v>
      </c>
      <c r="H18" s="47">
        <v>25000</v>
      </c>
      <c r="I18" s="47">
        <v>30000</v>
      </c>
      <c r="J18" s="48">
        <v>35000</v>
      </c>
      <c r="K18" s="72"/>
    </row>
    <row r="19" spans="1:15" ht="16.8" x14ac:dyDescent="0.35">
      <c r="A19" s="3">
        <v>3111311</v>
      </c>
      <c r="B19" s="4" t="s">
        <v>9</v>
      </c>
      <c r="C19" s="72"/>
      <c r="D19" s="94">
        <v>1703</v>
      </c>
      <c r="E19" s="47">
        <v>930</v>
      </c>
      <c r="F19" s="47">
        <v>2500</v>
      </c>
      <c r="G19" s="65">
        <v>2500</v>
      </c>
      <c r="H19" s="47">
        <v>2700</v>
      </c>
      <c r="I19" s="47">
        <v>3000</v>
      </c>
      <c r="J19" s="48">
        <v>3500</v>
      </c>
      <c r="K19" s="72"/>
    </row>
    <row r="20" spans="1:15" ht="16.8" x14ac:dyDescent="0.35">
      <c r="A20" s="3">
        <v>3111312</v>
      </c>
      <c r="B20" s="4" t="s">
        <v>10</v>
      </c>
      <c r="C20" s="72"/>
      <c r="D20" s="94">
        <v>0</v>
      </c>
      <c r="E20" s="47">
        <v>0</v>
      </c>
      <c r="F20" s="47">
        <v>100</v>
      </c>
      <c r="G20" s="65">
        <v>50</v>
      </c>
      <c r="H20" s="47">
        <v>100</v>
      </c>
      <c r="I20" s="47">
        <v>110</v>
      </c>
      <c r="J20" s="48">
        <v>120</v>
      </c>
      <c r="K20" s="72"/>
    </row>
    <row r="21" spans="1:15" ht="21" customHeight="1" x14ac:dyDescent="0.35">
      <c r="A21" s="3">
        <v>3111313</v>
      </c>
      <c r="B21" s="4" t="s">
        <v>11</v>
      </c>
      <c r="C21" s="72"/>
      <c r="D21" s="94">
        <v>46</v>
      </c>
      <c r="E21" s="47">
        <v>24</v>
      </c>
      <c r="F21" s="47">
        <v>100</v>
      </c>
      <c r="G21" s="65">
        <v>100</v>
      </c>
      <c r="H21" s="47">
        <v>120</v>
      </c>
      <c r="I21" s="47">
        <v>130</v>
      </c>
      <c r="J21" s="48">
        <v>150</v>
      </c>
      <c r="K21" s="72"/>
    </row>
    <row r="22" spans="1:15" ht="16.8" x14ac:dyDescent="0.35">
      <c r="A22" s="3">
        <v>3111314</v>
      </c>
      <c r="B22" s="4" t="s">
        <v>12</v>
      </c>
      <c r="C22" s="72"/>
      <c r="D22" s="94">
        <v>183</v>
      </c>
      <c r="E22" s="47">
        <v>98</v>
      </c>
      <c r="F22" s="47">
        <v>250</v>
      </c>
      <c r="G22" s="65">
        <v>250</v>
      </c>
      <c r="H22" s="47">
        <v>260</v>
      </c>
      <c r="I22" s="47">
        <v>270</v>
      </c>
      <c r="J22" s="48">
        <v>280</v>
      </c>
      <c r="K22" s="72"/>
    </row>
    <row r="23" spans="1:15" ht="16.8" x14ac:dyDescent="0.35">
      <c r="A23" s="3">
        <v>3111316</v>
      </c>
      <c r="B23" s="4" t="s">
        <v>13</v>
      </c>
      <c r="C23" s="72"/>
      <c r="D23" s="94">
        <v>0</v>
      </c>
      <c r="E23" s="47">
        <v>0</v>
      </c>
      <c r="F23" s="47">
        <v>48</v>
      </c>
      <c r="G23" s="65">
        <f t="shared" si="0"/>
        <v>48</v>
      </c>
      <c r="H23" s="47">
        <v>50</v>
      </c>
      <c r="I23" s="47">
        <v>50</v>
      </c>
      <c r="J23" s="48">
        <v>60</v>
      </c>
      <c r="K23" s="72"/>
    </row>
    <row r="24" spans="1:15" ht="16.8" x14ac:dyDescent="0.35">
      <c r="A24" s="3">
        <v>3111325</v>
      </c>
      <c r="B24" s="4" t="s">
        <v>14</v>
      </c>
      <c r="C24" s="72"/>
      <c r="D24" s="94">
        <v>4150</v>
      </c>
      <c r="E24" s="47">
        <v>386</v>
      </c>
      <c r="F24" s="47">
        <v>4000</v>
      </c>
      <c r="G24" s="65">
        <v>4000</v>
      </c>
      <c r="H24" s="47">
        <v>5000</v>
      </c>
      <c r="I24" s="47">
        <v>5500</v>
      </c>
      <c r="J24" s="48">
        <v>6000</v>
      </c>
      <c r="K24" s="72"/>
    </row>
    <row r="25" spans="1:15" ht="16.8" x14ac:dyDescent="0.35">
      <c r="A25" s="3">
        <v>3111327</v>
      </c>
      <c r="B25" s="4" t="s">
        <v>15</v>
      </c>
      <c r="C25" s="72"/>
      <c r="D25" s="94">
        <v>0</v>
      </c>
      <c r="E25" s="47">
        <v>0</v>
      </c>
      <c r="F25" s="47">
        <v>100</v>
      </c>
      <c r="G25" s="65">
        <v>100</v>
      </c>
      <c r="H25" s="47">
        <v>100</v>
      </c>
      <c r="I25" s="47">
        <v>100</v>
      </c>
      <c r="J25" s="48">
        <v>120</v>
      </c>
      <c r="K25" s="72"/>
    </row>
    <row r="26" spans="1:15" ht="16.8" x14ac:dyDescent="0.35">
      <c r="A26" s="3">
        <v>3111328</v>
      </c>
      <c r="B26" s="4" t="s">
        <v>16</v>
      </c>
      <c r="C26" s="72"/>
      <c r="D26" s="94">
        <v>654</v>
      </c>
      <c r="E26" s="47">
        <v>315</v>
      </c>
      <c r="F26" s="47">
        <v>1000</v>
      </c>
      <c r="G26" s="65">
        <v>1000</v>
      </c>
      <c r="H26" s="47">
        <v>1000</v>
      </c>
      <c r="I26" s="47">
        <v>1200</v>
      </c>
      <c r="J26" s="48">
        <v>1300</v>
      </c>
      <c r="K26" s="72"/>
    </row>
    <row r="27" spans="1:15" ht="16.8" x14ac:dyDescent="0.35">
      <c r="A27" s="3">
        <v>3111331</v>
      </c>
      <c r="B27" s="4" t="s">
        <v>17</v>
      </c>
      <c r="C27" s="72"/>
      <c r="D27" s="94">
        <v>0</v>
      </c>
      <c r="E27" s="47">
        <v>0</v>
      </c>
      <c r="F27" s="47">
        <v>100</v>
      </c>
      <c r="G27" s="65">
        <v>100</v>
      </c>
      <c r="H27" s="47">
        <v>100</v>
      </c>
      <c r="I27" s="47">
        <v>100</v>
      </c>
      <c r="J27" s="48">
        <v>100</v>
      </c>
      <c r="K27" s="72"/>
    </row>
    <row r="28" spans="1:15" ht="16.8" x14ac:dyDescent="0.35">
      <c r="A28" s="3">
        <v>3111335</v>
      </c>
      <c r="B28" s="4" t="s">
        <v>18</v>
      </c>
      <c r="C28" s="72"/>
      <c r="D28" s="94">
        <v>417</v>
      </c>
      <c r="E28" s="47">
        <v>0</v>
      </c>
      <c r="F28" s="47">
        <v>800</v>
      </c>
      <c r="G28" s="65">
        <v>800</v>
      </c>
      <c r="H28" s="47">
        <v>900</v>
      </c>
      <c r="I28" s="47">
        <v>1000</v>
      </c>
      <c r="J28" s="48">
        <v>1100</v>
      </c>
      <c r="K28" s="72"/>
    </row>
    <row r="29" spans="1:15" ht="16.8" x14ac:dyDescent="0.35">
      <c r="A29" s="3">
        <v>3111338</v>
      </c>
      <c r="B29" s="4" t="s">
        <v>19</v>
      </c>
      <c r="C29" s="72"/>
      <c r="D29" s="94">
        <v>2</v>
      </c>
      <c r="E29" s="47">
        <v>2</v>
      </c>
      <c r="F29" s="47">
        <v>50</v>
      </c>
      <c r="G29" s="65">
        <v>50</v>
      </c>
      <c r="H29" s="47">
        <v>50</v>
      </c>
      <c r="I29" s="47">
        <v>50</v>
      </c>
      <c r="J29" s="48">
        <v>60</v>
      </c>
      <c r="K29" s="72"/>
    </row>
    <row r="30" spans="1:15" ht="16.8" x14ac:dyDescent="0.35">
      <c r="A30" s="3">
        <v>3111344</v>
      </c>
      <c r="B30" s="4" t="s">
        <v>20</v>
      </c>
      <c r="C30" s="72"/>
      <c r="D30" s="94">
        <v>79</v>
      </c>
      <c r="E30" s="47">
        <v>43</v>
      </c>
      <c r="F30" s="47">
        <v>400</v>
      </c>
      <c r="G30" s="65">
        <v>400</v>
      </c>
      <c r="H30" s="47">
        <v>400</v>
      </c>
      <c r="I30" s="47">
        <v>450</v>
      </c>
      <c r="J30" s="48">
        <v>500</v>
      </c>
      <c r="K30" s="72"/>
      <c r="L30" s="32"/>
    </row>
    <row r="31" spans="1:15" ht="16.8" x14ac:dyDescent="0.35">
      <c r="A31" s="3">
        <v>3111352</v>
      </c>
      <c r="B31" s="4" t="s">
        <v>21</v>
      </c>
      <c r="C31" s="72"/>
      <c r="D31" s="94">
        <v>1293</v>
      </c>
      <c r="E31" s="47">
        <v>719</v>
      </c>
      <c r="F31" s="47">
        <v>1800</v>
      </c>
      <c r="G31" s="65">
        <v>1800</v>
      </c>
      <c r="H31" s="47">
        <v>1800</v>
      </c>
      <c r="I31" s="47">
        <v>2000</v>
      </c>
      <c r="J31" s="48">
        <v>2200</v>
      </c>
      <c r="K31" s="72"/>
      <c r="L31" s="32"/>
    </row>
    <row r="32" spans="1:15" s="18" customFormat="1" ht="15" x14ac:dyDescent="0.35">
      <c r="A32" s="135" t="s">
        <v>22</v>
      </c>
      <c r="B32" s="135"/>
      <c r="C32" s="73"/>
      <c r="D32" s="110">
        <f>SUM(D11:D31)</f>
        <v>43041</v>
      </c>
      <c r="E32" s="59">
        <f t="shared" ref="E32:J32" si="1">SUM(E11:E31)</f>
        <v>22100</v>
      </c>
      <c r="F32" s="49">
        <f t="shared" si="1"/>
        <v>63900</v>
      </c>
      <c r="G32" s="53">
        <f t="shared" si="1"/>
        <v>58310</v>
      </c>
      <c r="H32" s="53">
        <f t="shared" si="1"/>
        <v>74930</v>
      </c>
      <c r="I32" s="53">
        <f t="shared" si="1"/>
        <v>87520</v>
      </c>
      <c r="J32" s="98">
        <f t="shared" si="1"/>
        <v>97260</v>
      </c>
      <c r="K32" s="73"/>
      <c r="L32" s="32"/>
      <c r="O32"/>
    </row>
    <row r="33" spans="1:15" s="18" customFormat="1" ht="15" x14ac:dyDescent="0.35">
      <c r="A33" s="17" t="s">
        <v>64</v>
      </c>
      <c r="B33" s="17" t="s">
        <v>0</v>
      </c>
      <c r="C33" s="73"/>
      <c r="D33" s="110">
        <f>SUM(D32)</f>
        <v>43041</v>
      </c>
      <c r="E33" s="59">
        <f t="shared" ref="E33:J33" si="2">SUM(E32)</f>
        <v>22100</v>
      </c>
      <c r="F33" s="49">
        <f t="shared" si="2"/>
        <v>63900</v>
      </c>
      <c r="G33" s="53">
        <f t="shared" si="2"/>
        <v>58310</v>
      </c>
      <c r="H33" s="53">
        <f t="shared" si="2"/>
        <v>74930</v>
      </c>
      <c r="I33" s="53">
        <f t="shared" si="2"/>
        <v>87520</v>
      </c>
      <c r="J33" s="98">
        <f t="shared" si="2"/>
        <v>97260</v>
      </c>
      <c r="K33" s="73"/>
      <c r="L33" s="32"/>
      <c r="O33"/>
    </row>
    <row r="34" spans="1:15" ht="16.8" x14ac:dyDescent="0.3">
      <c r="A34" s="95">
        <v>32</v>
      </c>
      <c r="B34" s="96" t="s">
        <v>23</v>
      </c>
      <c r="C34" s="2"/>
      <c r="D34" s="13"/>
      <c r="E34" s="60"/>
      <c r="F34" s="50"/>
      <c r="G34" s="50"/>
      <c r="H34" s="2"/>
      <c r="I34" s="2"/>
      <c r="J34" s="2"/>
      <c r="K34" s="72"/>
      <c r="L34" s="32"/>
    </row>
    <row r="35" spans="1:15" ht="16.8" x14ac:dyDescent="0.3">
      <c r="A35" s="3">
        <v>3211102</v>
      </c>
      <c r="B35" s="4" t="s">
        <v>24</v>
      </c>
      <c r="C35" s="8"/>
      <c r="D35" s="13">
        <v>72</v>
      </c>
      <c r="E35" s="60">
        <v>0</v>
      </c>
      <c r="F35" s="51">
        <v>200</v>
      </c>
      <c r="G35" s="65">
        <v>200</v>
      </c>
      <c r="H35" s="2">
        <v>300</v>
      </c>
      <c r="I35" s="47">
        <v>400</v>
      </c>
      <c r="J35" s="48">
        <v>700</v>
      </c>
      <c r="K35" s="72"/>
      <c r="L35" s="32"/>
    </row>
    <row r="36" spans="1:15" ht="16.8" x14ac:dyDescent="0.3">
      <c r="A36" s="3">
        <v>3211104</v>
      </c>
      <c r="B36" s="4" t="s">
        <v>25</v>
      </c>
      <c r="C36" s="6"/>
      <c r="D36" s="13">
        <v>0</v>
      </c>
      <c r="E36" s="60">
        <v>0</v>
      </c>
      <c r="F36" s="47">
        <v>1</v>
      </c>
      <c r="G36" s="65">
        <v>0</v>
      </c>
      <c r="H36" s="2">
        <v>1</v>
      </c>
      <c r="I36" s="47">
        <v>1</v>
      </c>
      <c r="J36" s="48">
        <v>1</v>
      </c>
      <c r="K36" s="72"/>
    </row>
    <row r="37" spans="1:15" ht="16.8" x14ac:dyDescent="0.3">
      <c r="A37" s="3">
        <v>3211106</v>
      </c>
      <c r="B37" s="4" t="s">
        <v>26</v>
      </c>
      <c r="C37" s="6"/>
      <c r="D37" s="13">
        <v>21</v>
      </c>
      <c r="E37" s="60">
        <v>253</v>
      </c>
      <c r="F37" s="47">
        <v>300</v>
      </c>
      <c r="G37" s="65">
        <v>200</v>
      </c>
      <c r="H37" s="2">
        <v>400</v>
      </c>
      <c r="I37" s="47">
        <v>500</v>
      </c>
      <c r="J37" s="48">
        <v>600</v>
      </c>
      <c r="K37" s="72"/>
    </row>
    <row r="38" spans="1:15" ht="16.8" x14ac:dyDescent="0.3">
      <c r="A38" s="3">
        <v>3211113</v>
      </c>
      <c r="B38" s="4" t="s">
        <v>27</v>
      </c>
      <c r="C38" s="6"/>
      <c r="D38" s="13">
        <v>0</v>
      </c>
      <c r="E38" s="60">
        <v>0</v>
      </c>
      <c r="F38" s="47">
        <v>1</v>
      </c>
      <c r="G38" s="65">
        <v>0</v>
      </c>
      <c r="H38" s="2">
        <v>1</v>
      </c>
      <c r="I38" s="47">
        <v>1</v>
      </c>
      <c r="J38" s="48">
        <v>1</v>
      </c>
      <c r="K38" s="72"/>
    </row>
    <row r="39" spans="1:15" ht="16.8" x14ac:dyDescent="0.3">
      <c r="A39" s="3">
        <v>3211115</v>
      </c>
      <c r="B39" s="4" t="s">
        <v>28</v>
      </c>
      <c r="C39" s="6"/>
      <c r="D39" s="13"/>
      <c r="E39" s="60">
        <v>0</v>
      </c>
      <c r="F39" s="47">
        <v>1</v>
      </c>
      <c r="G39" s="65">
        <v>0</v>
      </c>
      <c r="H39" s="2">
        <v>1</v>
      </c>
      <c r="I39" s="47">
        <v>1</v>
      </c>
      <c r="J39" s="48">
        <v>1</v>
      </c>
      <c r="K39" s="72"/>
    </row>
    <row r="40" spans="1:15" ht="16.8" x14ac:dyDescent="0.35">
      <c r="A40" s="3">
        <v>3211117</v>
      </c>
      <c r="B40" s="4" t="s">
        <v>29</v>
      </c>
      <c r="C40" s="6"/>
      <c r="D40" s="13">
        <v>34387</v>
      </c>
      <c r="E40" s="60">
        <v>1035</v>
      </c>
      <c r="F40" s="47">
        <v>35000</v>
      </c>
      <c r="G40" s="65">
        <v>5000</v>
      </c>
      <c r="H40" s="2">
        <v>35000</v>
      </c>
      <c r="I40" s="47">
        <v>40000</v>
      </c>
      <c r="J40" s="48">
        <v>50000</v>
      </c>
      <c r="K40" s="94"/>
    </row>
    <row r="41" spans="1:15" ht="15" x14ac:dyDescent="0.35">
      <c r="A41" s="3">
        <v>3211119</v>
      </c>
      <c r="B41" s="4" t="s">
        <v>30</v>
      </c>
      <c r="C41" s="6"/>
      <c r="D41" s="13">
        <v>88388</v>
      </c>
      <c r="E41" s="60">
        <v>118127</v>
      </c>
      <c r="F41" s="47">
        <v>120000</v>
      </c>
      <c r="G41" s="69">
        <v>150000</v>
      </c>
      <c r="H41" s="2">
        <v>600000</v>
      </c>
      <c r="I41" s="91">
        <v>100000</v>
      </c>
      <c r="J41" s="48">
        <v>120000</v>
      </c>
      <c r="K41" s="94"/>
    </row>
    <row r="42" spans="1:15" ht="16.8" x14ac:dyDescent="0.3">
      <c r="A42" s="3">
        <v>3211120</v>
      </c>
      <c r="B42" s="4" t="s">
        <v>31</v>
      </c>
      <c r="C42" s="6"/>
      <c r="D42" s="13">
        <v>0</v>
      </c>
      <c r="E42" s="60">
        <v>0</v>
      </c>
      <c r="F42" s="47">
        <v>1</v>
      </c>
      <c r="G42" s="65">
        <v>0</v>
      </c>
      <c r="H42" s="2">
        <v>100</v>
      </c>
      <c r="I42" s="47">
        <v>120</v>
      </c>
      <c r="J42" s="48">
        <v>130</v>
      </c>
      <c r="K42" s="72"/>
      <c r="L42" s="32"/>
    </row>
    <row r="43" spans="1:15" ht="16.8" x14ac:dyDescent="0.3">
      <c r="A43" s="3">
        <v>3211125</v>
      </c>
      <c r="B43" s="4" t="s">
        <v>80</v>
      </c>
      <c r="C43" s="6"/>
      <c r="D43" s="13">
        <v>0</v>
      </c>
      <c r="E43" s="60">
        <v>111</v>
      </c>
      <c r="F43" s="47">
        <v>1600</v>
      </c>
      <c r="G43" s="65">
        <v>300</v>
      </c>
      <c r="H43" s="2">
        <v>1500</v>
      </c>
      <c r="I43" s="47">
        <v>2000</v>
      </c>
      <c r="J43" s="48">
        <v>3000</v>
      </c>
      <c r="K43" s="72"/>
      <c r="L43" s="32"/>
    </row>
    <row r="44" spans="1:15" ht="16.8" x14ac:dyDescent="0.3">
      <c r="A44" s="3">
        <v>3211127</v>
      </c>
      <c r="B44" s="4" t="s">
        <v>32</v>
      </c>
      <c r="C44" s="6"/>
      <c r="D44" s="13">
        <v>56</v>
      </c>
      <c r="E44" s="60">
        <v>0</v>
      </c>
      <c r="F44" s="47">
        <v>100</v>
      </c>
      <c r="G44" s="65">
        <v>100</v>
      </c>
      <c r="H44" s="2">
        <v>100</v>
      </c>
      <c r="I44" s="47">
        <v>200</v>
      </c>
      <c r="J44" s="48">
        <v>300</v>
      </c>
      <c r="K44" s="72"/>
      <c r="L44" s="32"/>
    </row>
    <row r="45" spans="1:15" s="18" customFormat="1" ht="15" x14ac:dyDescent="0.3">
      <c r="A45" s="135" t="s">
        <v>22</v>
      </c>
      <c r="B45" s="135"/>
      <c r="C45" s="20"/>
      <c r="D45" s="15">
        <f>SUM(D35:D44)</f>
        <v>122924</v>
      </c>
      <c r="E45" s="59">
        <f t="shared" ref="E45:J45" si="3">SUM(E35:E44)</f>
        <v>119526</v>
      </c>
      <c r="F45" s="49">
        <f t="shared" si="3"/>
        <v>157204</v>
      </c>
      <c r="G45" s="53">
        <f t="shared" si="3"/>
        <v>155800</v>
      </c>
      <c r="H45" s="92">
        <f t="shared" si="3"/>
        <v>637403</v>
      </c>
      <c r="I45" s="92">
        <f t="shared" si="3"/>
        <v>143223</v>
      </c>
      <c r="J45" s="99">
        <f t="shared" si="3"/>
        <v>174733</v>
      </c>
      <c r="K45" s="73"/>
      <c r="L45" s="32"/>
    </row>
    <row r="46" spans="1:15" s="18" customFormat="1" ht="15" x14ac:dyDescent="0.3">
      <c r="A46" s="26">
        <v>3243</v>
      </c>
      <c r="B46" s="26" t="s">
        <v>56</v>
      </c>
      <c r="C46" s="27"/>
      <c r="D46" s="28"/>
      <c r="E46" s="61"/>
      <c r="F46" s="52"/>
      <c r="G46" s="71"/>
      <c r="H46" s="93"/>
      <c r="I46" s="30"/>
      <c r="J46" s="31"/>
      <c r="K46" s="74"/>
      <c r="L46" s="32"/>
    </row>
    <row r="47" spans="1:15" ht="16.8" x14ac:dyDescent="0.3">
      <c r="A47" s="3">
        <v>3243101</v>
      </c>
      <c r="B47" s="4" t="s">
        <v>33</v>
      </c>
      <c r="C47" s="6"/>
      <c r="D47" s="7">
        <v>0</v>
      </c>
      <c r="E47" s="62">
        <v>0</v>
      </c>
      <c r="F47" s="47">
        <v>1</v>
      </c>
      <c r="G47" s="65">
        <v>0</v>
      </c>
      <c r="H47" s="47">
        <v>1</v>
      </c>
      <c r="I47" s="47">
        <v>1</v>
      </c>
      <c r="J47" s="48">
        <v>1</v>
      </c>
      <c r="K47" s="72"/>
      <c r="L47" s="32"/>
    </row>
    <row r="48" spans="1:15" ht="16.8" x14ac:dyDescent="0.3">
      <c r="A48" s="3">
        <v>3243102</v>
      </c>
      <c r="B48" s="4" t="s">
        <v>34</v>
      </c>
      <c r="C48" s="6"/>
      <c r="D48" s="7">
        <v>0</v>
      </c>
      <c r="E48" s="62">
        <v>0</v>
      </c>
      <c r="F48" s="47">
        <v>1</v>
      </c>
      <c r="G48" s="65">
        <v>0</v>
      </c>
      <c r="H48" s="47">
        <v>1</v>
      </c>
      <c r="I48" s="47">
        <v>1</v>
      </c>
      <c r="J48" s="48">
        <v>1</v>
      </c>
      <c r="K48" s="72"/>
      <c r="L48" s="32"/>
    </row>
    <row r="49" spans="1:12" ht="16.8" x14ac:dyDescent="0.3">
      <c r="A49" s="135" t="s">
        <v>22</v>
      </c>
      <c r="B49" s="135"/>
      <c r="C49" s="75"/>
      <c r="D49" s="39"/>
      <c r="E49" s="63">
        <f t="shared" ref="E49:J49" si="4">SUM(E47:E48)</f>
        <v>0</v>
      </c>
      <c r="F49" s="76">
        <f t="shared" si="4"/>
        <v>2</v>
      </c>
      <c r="G49" s="67">
        <f t="shared" si="4"/>
        <v>0</v>
      </c>
      <c r="H49" s="53">
        <f t="shared" si="4"/>
        <v>2</v>
      </c>
      <c r="I49" s="53">
        <f t="shared" si="4"/>
        <v>2</v>
      </c>
      <c r="J49" s="99">
        <f t="shared" si="4"/>
        <v>2</v>
      </c>
      <c r="K49" s="72"/>
      <c r="L49" s="32"/>
    </row>
    <row r="50" spans="1:12" ht="16.8" x14ac:dyDescent="0.3">
      <c r="A50" s="26">
        <v>3244</v>
      </c>
      <c r="B50" s="26" t="s">
        <v>57</v>
      </c>
      <c r="C50" s="6"/>
      <c r="D50" s="7"/>
      <c r="E50" s="62"/>
      <c r="F50" s="47"/>
      <c r="G50" s="65"/>
      <c r="H50" s="47"/>
      <c r="I50" s="47"/>
      <c r="J50" s="48"/>
      <c r="K50" s="72"/>
      <c r="L50" s="32"/>
    </row>
    <row r="51" spans="1:12" ht="16.8" x14ac:dyDescent="0.3">
      <c r="A51" s="3">
        <v>3244101</v>
      </c>
      <c r="B51" s="4" t="s">
        <v>35</v>
      </c>
      <c r="C51" s="6"/>
      <c r="D51" s="7">
        <v>957</v>
      </c>
      <c r="E51" s="62">
        <v>62</v>
      </c>
      <c r="F51" s="47">
        <v>700</v>
      </c>
      <c r="G51" s="65">
        <v>500</v>
      </c>
      <c r="H51" s="47">
        <v>700</v>
      </c>
      <c r="I51" s="47">
        <v>800</v>
      </c>
      <c r="J51" s="48">
        <v>900</v>
      </c>
      <c r="K51" s="72"/>
    </row>
    <row r="52" spans="1:12" ht="16.8" x14ac:dyDescent="0.3">
      <c r="A52" s="3">
        <v>3244102</v>
      </c>
      <c r="B52" s="4" t="s">
        <v>58</v>
      </c>
      <c r="C52" s="6"/>
      <c r="D52" s="7">
        <v>385</v>
      </c>
      <c r="E52" s="62">
        <v>120</v>
      </c>
      <c r="F52" s="47">
        <v>500</v>
      </c>
      <c r="G52" s="65">
        <v>300</v>
      </c>
      <c r="H52" s="47">
        <v>500</v>
      </c>
      <c r="I52" s="47">
        <v>600</v>
      </c>
      <c r="J52" s="48">
        <v>700</v>
      </c>
      <c r="K52" s="72"/>
    </row>
    <row r="53" spans="1:12" ht="16.8" x14ac:dyDescent="0.3">
      <c r="A53" s="3"/>
      <c r="B53" s="25" t="s">
        <v>59</v>
      </c>
      <c r="C53" s="19"/>
      <c r="D53" s="39">
        <f>SUM(D51:D52)</f>
        <v>1342</v>
      </c>
      <c r="E53" s="63">
        <f t="shared" ref="E53:J53" si="5">SUM(E51:E52)</f>
        <v>182</v>
      </c>
      <c r="F53" s="53">
        <f t="shared" si="5"/>
        <v>1200</v>
      </c>
      <c r="G53" s="68">
        <f t="shared" si="5"/>
        <v>800</v>
      </c>
      <c r="H53" s="53">
        <f t="shared" si="5"/>
        <v>1200</v>
      </c>
      <c r="I53" s="53">
        <f t="shared" si="5"/>
        <v>1400</v>
      </c>
      <c r="J53" s="99">
        <f t="shared" si="5"/>
        <v>1600</v>
      </c>
      <c r="K53" s="72"/>
    </row>
    <row r="54" spans="1:12" ht="16.8" x14ac:dyDescent="0.3">
      <c r="A54" s="33">
        <v>3255</v>
      </c>
      <c r="B54" s="34" t="s">
        <v>60</v>
      </c>
      <c r="C54" s="6"/>
      <c r="D54" s="7"/>
      <c r="E54" s="62"/>
      <c r="F54" s="47"/>
      <c r="G54" s="65"/>
      <c r="H54" s="47"/>
      <c r="I54" s="47"/>
      <c r="J54" s="48"/>
      <c r="K54" s="72"/>
    </row>
    <row r="55" spans="1:12" ht="16.8" x14ac:dyDescent="0.3">
      <c r="A55" s="3">
        <v>3255105</v>
      </c>
      <c r="B55" s="4" t="s">
        <v>36</v>
      </c>
      <c r="C55" s="6"/>
      <c r="D55" s="7">
        <v>74</v>
      </c>
      <c r="E55" s="62">
        <v>36</v>
      </c>
      <c r="F55" s="47">
        <v>3500</v>
      </c>
      <c r="G55" s="65">
        <v>300</v>
      </c>
      <c r="H55" s="47">
        <v>9500</v>
      </c>
      <c r="I55" s="47">
        <v>8000</v>
      </c>
      <c r="J55" s="48">
        <v>9000</v>
      </c>
      <c r="K55" s="72"/>
    </row>
    <row r="56" spans="1:12" ht="16.8" x14ac:dyDescent="0.35">
      <c r="A56" s="40"/>
      <c r="B56" s="25" t="s">
        <v>59</v>
      </c>
      <c r="C56" s="19"/>
      <c r="D56" s="39">
        <f>SUM(D55)</f>
        <v>74</v>
      </c>
      <c r="E56" s="63">
        <f>SUM(E55)</f>
        <v>36</v>
      </c>
      <c r="F56" s="53">
        <f>SUM(F55)</f>
        <v>3500</v>
      </c>
      <c r="G56" s="68">
        <f>SUM(G55)</f>
        <v>300</v>
      </c>
      <c r="H56" s="53">
        <f>SUM(H55:H55)</f>
        <v>9500</v>
      </c>
      <c r="I56" s="53">
        <f>SUM(I55)</f>
        <v>8000</v>
      </c>
      <c r="J56" s="48">
        <f>SUM(J55)</f>
        <v>9000</v>
      </c>
      <c r="K56" s="94"/>
    </row>
    <row r="57" spans="1:12" x14ac:dyDescent="0.3">
      <c r="A57" s="3">
        <v>3256</v>
      </c>
      <c r="B57" s="31" t="s">
        <v>61</v>
      </c>
      <c r="C57" s="6"/>
      <c r="D57" s="7"/>
      <c r="E57" s="62"/>
      <c r="F57" s="47"/>
      <c r="G57" s="47"/>
      <c r="H57" s="47"/>
      <c r="I57" s="47"/>
      <c r="J57" s="48"/>
      <c r="K57" s="72"/>
    </row>
    <row r="58" spans="1:12" ht="16.8" x14ac:dyDescent="0.3">
      <c r="A58" s="3">
        <v>3256106</v>
      </c>
      <c r="B58" s="4" t="s">
        <v>37</v>
      </c>
      <c r="C58" s="9"/>
      <c r="D58" s="7">
        <v>0</v>
      </c>
      <c r="E58" s="62">
        <v>25</v>
      </c>
      <c r="F58" s="54">
        <v>50</v>
      </c>
      <c r="G58" s="65">
        <v>50</v>
      </c>
      <c r="H58" s="47">
        <v>100</v>
      </c>
      <c r="I58" s="47">
        <v>120</v>
      </c>
      <c r="J58" s="100">
        <v>150</v>
      </c>
      <c r="K58" s="72"/>
    </row>
    <row r="59" spans="1:12" ht="16.8" x14ac:dyDescent="0.3">
      <c r="A59" s="40"/>
      <c r="B59" s="25" t="s">
        <v>59</v>
      </c>
      <c r="C59" s="16"/>
      <c r="D59" s="39"/>
      <c r="E59" s="63">
        <f t="shared" ref="E59:J59" si="6">SUM(E58)</f>
        <v>25</v>
      </c>
      <c r="F59" s="55">
        <f t="shared" si="6"/>
        <v>50</v>
      </c>
      <c r="G59" s="68">
        <f t="shared" si="6"/>
        <v>50</v>
      </c>
      <c r="H59" s="53">
        <f t="shared" si="6"/>
        <v>100</v>
      </c>
      <c r="I59" s="53">
        <f t="shared" si="6"/>
        <v>120</v>
      </c>
      <c r="J59" s="100">
        <f t="shared" si="6"/>
        <v>150</v>
      </c>
      <c r="K59" s="72"/>
    </row>
    <row r="60" spans="1:12" ht="16.8" x14ac:dyDescent="0.3">
      <c r="A60" s="3">
        <v>3257</v>
      </c>
      <c r="B60" s="35" t="s">
        <v>62</v>
      </c>
      <c r="C60" s="9"/>
      <c r="D60" s="7"/>
      <c r="E60" s="62"/>
      <c r="F60" s="54"/>
      <c r="G60" s="65"/>
      <c r="H60" s="47"/>
      <c r="I60" s="47"/>
      <c r="J60" s="100"/>
      <c r="K60" s="72"/>
    </row>
    <row r="61" spans="1:12" ht="16.8" x14ac:dyDescent="0.3">
      <c r="A61" s="3">
        <v>3257206</v>
      </c>
      <c r="B61" s="4" t="s">
        <v>50</v>
      </c>
      <c r="C61" s="9"/>
      <c r="D61" s="7">
        <v>140</v>
      </c>
      <c r="E61" s="62">
        <v>251</v>
      </c>
      <c r="F61" s="54">
        <v>1600</v>
      </c>
      <c r="G61" s="65">
        <v>400</v>
      </c>
      <c r="H61" s="47">
        <v>1000</v>
      </c>
      <c r="I61" s="47">
        <v>1100</v>
      </c>
      <c r="J61" s="100">
        <v>1200</v>
      </c>
      <c r="K61" s="72"/>
    </row>
    <row r="62" spans="1:12" ht="16.8" x14ac:dyDescent="0.3">
      <c r="A62" s="3">
        <v>3257301</v>
      </c>
      <c r="B62" s="4" t="s">
        <v>38</v>
      </c>
      <c r="C62" s="9"/>
      <c r="D62" s="7">
        <v>0</v>
      </c>
      <c r="E62" s="62">
        <v>0</v>
      </c>
      <c r="F62" s="54">
        <v>100</v>
      </c>
      <c r="G62" s="65">
        <v>100</v>
      </c>
      <c r="H62" s="47">
        <v>500</v>
      </c>
      <c r="I62" s="47">
        <v>500</v>
      </c>
      <c r="J62" s="100">
        <v>600</v>
      </c>
      <c r="K62" s="72"/>
    </row>
    <row r="63" spans="1:12" ht="16.8" x14ac:dyDescent="0.3">
      <c r="A63" s="3"/>
      <c r="B63" s="25" t="s">
        <v>59</v>
      </c>
      <c r="C63" s="16"/>
      <c r="D63" s="39">
        <f>SUM(D61:D62)</f>
        <v>140</v>
      </c>
      <c r="E63" s="63">
        <f t="shared" ref="E63:J63" si="7">SUM(E61:E62)</f>
        <v>251</v>
      </c>
      <c r="F63" s="55">
        <f t="shared" si="7"/>
        <v>1700</v>
      </c>
      <c r="G63" s="68">
        <f t="shared" si="7"/>
        <v>500</v>
      </c>
      <c r="H63" s="53">
        <f t="shared" si="7"/>
        <v>1500</v>
      </c>
      <c r="I63" s="53">
        <f t="shared" si="7"/>
        <v>1600</v>
      </c>
      <c r="J63" s="101">
        <f t="shared" si="7"/>
        <v>1800</v>
      </c>
      <c r="K63" s="72"/>
      <c r="L63" s="32"/>
    </row>
    <row r="64" spans="1:12" ht="16.8" x14ac:dyDescent="0.3">
      <c r="A64" s="3">
        <v>3258</v>
      </c>
      <c r="B64" s="34" t="s">
        <v>63</v>
      </c>
      <c r="C64" s="9"/>
      <c r="D64" s="7"/>
      <c r="E64" s="62"/>
      <c r="F64" s="54"/>
      <c r="G64" s="47"/>
      <c r="H64" s="47"/>
      <c r="I64" s="47"/>
      <c r="J64" s="100"/>
      <c r="K64" s="72"/>
      <c r="L64" s="32"/>
    </row>
    <row r="65" spans="1:12" ht="16.8" x14ac:dyDescent="0.3">
      <c r="A65" s="3">
        <v>3258101</v>
      </c>
      <c r="B65" s="4" t="s">
        <v>39</v>
      </c>
      <c r="C65" s="9"/>
      <c r="D65" s="7">
        <v>76</v>
      </c>
      <c r="E65" s="62">
        <v>74</v>
      </c>
      <c r="F65" s="54">
        <v>150</v>
      </c>
      <c r="G65" s="65">
        <f t="shared" ref="G65:G67" si="8">D65+F65</f>
        <v>226</v>
      </c>
      <c r="H65" s="47">
        <v>300</v>
      </c>
      <c r="I65" s="47">
        <v>400</v>
      </c>
      <c r="J65" s="100">
        <v>500</v>
      </c>
      <c r="K65" s="72"/>
      <c r="L65" s="32"/>
    </row>
    <row r="66" spans="1:12" ht="16.8" x14ac:dyDescent="0.3">
      <c r="A66" s="3">
        <v>3258102</v>
      </c>
      <c r="B66" s="4" t="s">
        <v>40</v>
      </c>
      <c r="C66" s="9"/>
      <c r="D66" s="7">
        <v>0</v>
      </c>
      <c r="E66" s="62">
        <v>0</v>
      </c>
      <c r="F66" s="54">
        <v>300</v>
      </c>
      <c r="G66" s="65">
        <f t="shared" si="8"/>
        <v>300</v>
      </c>
      <c r="H66" s="47">
        <v>3000</v>
      </c>
      <c r="I66" s="47">
        <v>450</v>
      </c>
      <c r="J66" s="100">
        <v>550</v>
      </c>
      <c r="K66" s="72"/>
      <c r="L66" s="32"/>
    </row>
    <row r="67" spans="1:12" ht="16.8" x14ac:dyDescent="0.3">
      <c r="A67" s="3">
        <v>3258103</v>
      </c>
      <c r="B67" s="4" t="s">
        <v>41</v>
      </c>
      <c r="C67" s="9"/>
      <c r="D67" s="7">
        <v>0</v>
      </c>
      <c r="E67" s="62">
        <v>0</v>
      </c>
      <c r="F67" s="54">
        <v>1200</v>
      </c>
      <c r="G67" s="65">
        <f t="shared" si="8"/>
        <v>1200</v>
      </c>
      <c r="H67" s="47">
        <v>4000</v>
      </c>
      <c r="I67" s="47">
        <v>2500</v>
      </c>
      <c r="J67" s="100">
        <v>3000</v>
      </c>
      <c r="K67" s="72"/>
      <c r="L67" s="32"/>
    </row>
    <row r="68" spans="1:12" ht="16.8" x14ac:dyDescent="0.35">
      <c r="A68" s="10">
        <v>3258105</v>
      </c>
      <c r="B68" s="11" t="s">
        <v>42</v>
      </c>
      <c r="C68" s="12"/>
      <c r="D68" s="7">
        <v>7395</v>
      </c>
      <c r="E68" s="62">
        <v>39861</v>
      </c>
      <c r="F68" s="56">
        <v>50000</v>
      </c>
      <c r="G68" s="65">
        <v>40000</v>
      </c>
      <c r="H68" s="47">
        <v>70000</v>
      </c>
      <c r="I68" s="47">
        <v>80000</v>
      </c>
      <c r="J68" s="102">
        <v>90000</v>
      </c>
      <c r="K68" s="94"/>
      <c r="L68" s="32"/>
    </row>
    <row r="69" spans="1:12" s="18" customFormat="1" ht="16.8" x14ac:dyDescent="0.3">
      <c r="A69" s="135" t="s">
        <v>22</v>
      </c>
      <c r="B69" s="135"/>
      <c r="C69" s="14"/>
      <c r="D69" s="15">
        <f>SUM(D68)</f>
        <v>7395</v>
      </c>
      <c r="E69" s="59">
        <f t="shared" ref="E69:J69" si="9">SUM(E65:E68)</f>
        <v>39935</v>
      </c>
      <c r="F69" s="57">
        <f t="shared" si="9"/>
        <v>51650</v>
      </c>
      <c r="G69" s="66">
        <f t="shared" si="9"/>
        <v>41726</v>
      </c>
      <c r="H69" s="53">
        <f t="shared" si="9"/>
        <v>77300</v>
      </c>
      <c r="I69" s="53">
        <f t="shared" si="9"/>
        <v>83350</v>
      </c>
      <c r="J69" s="103">
        <f t="shared" si="9"/>
        <v>94050</v>
      </c>
      <c r="K69" s="73"/>
      <c r="L69" s="32"/>
    </row>
    <row r="70" spans="1:12" s="18" customFormat="1" ht="15" x14ac:dyDescent="0.3">
      <c r="A70" s="17" t="s">
        <v>22</v>
      </c>
      <c r="B70" s="17" t="s">
        <v>23</v>
      </c>
      <c r="C70" s="14"/>
      <c r="D70" s="15">
        <f>D69+D63+D59+D56+D53+D49+D45</f>
        <v>131875</v>
      </c>
      <c r="E70" s="59">
        <f>E69+E63+E59+E56+E53+E49+E45</f>
        <v>159955</v>
      </c>
      <c r="F70" s="57">
        <f t="shared" ref="F70:H70" si="10">F69+F63+F59+F56+F53+F49+F45</f>
        <v>215306</v>
      </c>
      <c r="G70" s="53">
        <f t="shared" si="10"/>
        <v>199176</v>
      </c>
      <c r="H70" s="53">
        <f t="shared" si="10"/>
        <v>727005</v>
      </c>
      <c r="I70" s="53">
        <f>I69+I63+I59+I56+I53+I49+I45</f>
        <v>237695</v>
      </c>
      <c r="J70" s="103">
        <f>J69+J63+J59+J56+J53+J49+J45</f>
        <v>281335</v>
      </c>
      <c r="K70" s="73"/>
      <c r="L70" s="32"/>
    </row>
    <row r="71" spans="1:12" s="18" customFormat="1" ht="15" x14ac:dyDescent="0.3">
      <c r="A71" s="85"/>
      <c r="B71" s="85"/>
      <c r="C71" s="86"/>
      <c r="D71" s="87"/>
      <c r="E71" s="88"/>
      <c r="F71" s="89"/>
      <c r="G71" s="70"/>
      <c r="H71" s="21"/>
      <c r="I71" s="70"/>
      <c r="J71" s="104"/>
      <c r="K71" s="32"/>
      <c r="L71" s="32"/>
    </row>
    <row r="72" spans="1:12" s="18" customFormat="1" ht="15" x14ac:dyDescent="0.3">
      <c r="A72" s="26"/>
      <c r="B72" s="26"/>
      <c r="C72" s="36"/>
      <c r="D72" s="28"/>
      <c r="E72" s="61"/>
      <c r="F72" s="90"/>
      <c r="G72" s="71"/>
      <c r="H72" s="29"/>
      <c r="I72" s="71"/>
      <c r="J72" s="105"/>
      <c r="K72" s="74"/>
      <c r="L72" s="32"/>
    </row>
    <row r="73" spans="1:12" ht="16.8" x14ac:dyDescent="0.3">
      <c r="A73" s="77">
        <v>41</v>
      </c>
      <c r="B73" s="78" t="s">
        <v>43</v>
      </c>
      <c r="C73" s="79"/>
      <c r="D73" s="80"/>
      <c r="E73" s="81"/>
      <c r="F73" s="82"/>
      <c r="G73" s="83"/>
      <c r="H73" s="83"/>
      <c r="I73" s="83"/>
      <c r="J73" s="82"/>
      <c r="K73" s="84"/>
      <c r="L73" s="32"/>
    </row>
    <row r="74" spans="1:12" ht="15" x14ac:dyDescent="0.35">
      <c r="A74" s="3">
        <v>4112201</v>
      </c>
      <c r="B74" s="4" t="s">
        <v>44</v>
      </c>
      <c r="C74" s="72"/>
      <c r="D74" s="9">
        <v>39</v>
      </c>
      <c r="E74" s="62">
        <v>324</v>
      </c>
      <c r="F74" s="54">
        <v>120000</v>
      </c>
      <c r="G74" s="47">
        <v>120000</v>
      </c>
      <c r="H74" s="54">
        <v>400000</v>
      </c>
      <c r="I74" s="54">
        <v>500000</v>
      </c>
      <c r="J74" s="100">
        <v>60000</v>
      </c>
      <c r="K74" s="94"/>
      <c r="L74" s="32"/>
    </row>
    <row r="75" spans="1:12" ht="16.8" x14ac:dyDescent="0.35">
      <c r="A75" s="3">
        <v>4112202</v>
      </c>
      <c r="B75" s="4" t="s">
        <v>45</v>
      </c>
      <c r="C75" s="72"/>
      <c r="D75" s="9">
        <v>45</v>
      </c>
      <c r="E75" s="62">
        <v>177</v>
      </c>
      <c r="F75" s="54">
        <v>90000</v>
      </c>
      <c r="G75" s="65">
        <v>700</v>
      </c>
      <c r="H75" s="54">
        <v>150000</v>
      </c>
      <c r="I75" s="54">
        <v>200000</v>
      </c>
      <c r="J75" s="100">
        <v>250000</v>
      </c>
      <c r="K75" s="94"/>
      <c r="L75" s="32"/>
    </row>
    <row r="76" spans="1:12" ht="16.8" x14ac:dyDescent="0.35">
      <c r="A76" s="3">
        <v>4112302</v>
      </c>
      <c r="B76" s="4" t="s">
        <v>46</v>
      </c>
      <c r="C76" s="72"/>
      <c r="D76" s="9">
        <v>60</v>
      </c>
      <c r="E76" s="62">
        <v>299</v>
      </c>
      <c r="F76" s="54">
        <v>1000</v>
      </c>
      <c r="G76" s="65">
        <v>400</v>
      </c>
      <c r="H76" s="54">
        <v>500</v>
      </c>
      <c r="I76" s="54">
        <v>700</v>
      </c>
      <c r="J76" s="100">
        <v>500</v>
      </c>
      <c r="K76" s="94"/>
    </row>
    <row r="77" spans="1:12" ht="16.8" x14ac:dyDescent="0.35">
      <c r="A77" s="3">
        <v>4112303</v>
      </c>
      <c r="B77" s="4" t="s">
        <v>47</v>
      </c>
      <c r="C77" s="72"/>
      <c r="D77" s="9">
        <v>57</v>
      </c>
      <c r="E77" s="62">
        <v>0</v>
      </c>
      <c r="F77" s="54">
        <v>40000</v>
      </c>
      <c r="G77" s="65">
        <v>35000</v>
      </c>
      <c r="H77" s="54">
        <v>100000</v>
      </c>
      <c r="I77" s="54">
        <v>120000</v>
      </c>
      <c r="J77" s="100">
        <v>150000</v>
      </c>
      <c r="K77" s="94"/>
    </row>
    <row r="78" spans="1:12" ht="16.8" x14ac:dyDescent="0.3">
      <c r="A78" s="3">
        <v>4112305</v>
      </c>
      <c r="B78" s="4" t="s">
        <v>48</v>
      </c>
      <c r="C78" s="72"/>
      <c r="D78" s="9">
        <v>0</v>
      </c>
      <c r="E78" s="62">
        <v>0</v>
      </c>
      <c r="F78" s="54">
        <v>500</v>
      </c>
      <c r="G78" s="65">
        <v>200</v>
      </c>
      <c r="H78" s="54">
        <v>500</v>
      </c>
      <c r="I78" s="54">
        <v>800</v>
      </c>
      <c r="J78" s="100">
        <v>1000</v>
      </c>
      <c r="K78" s="72"/>
    </row>
    <row r="79" spans="1:12" ht="16.8" x14ac:dyDescent="0.3">
      <c r="A79" s="3">
        <v>4112310</v>
      </c>
      <c r="B79" s="4" t="s">
        <v>49</v>
      </c>
      <c r="C79" s="72"/>
      <c r="D79" s="9">
        <v>230</v>
      </c>
      <c r="E79" s="62">
        <v>286</v>
      </c>
      <c r="F79" s="54">
        <v>4000</v>
      </c>
      <c r="G79" s="65">
        <v>600</v>
      </c>
      <c r="H79" s="54">
        <v>8000</v>
      </c>
      <c r="I79" s="54">
        <v>9500</v>
      </c>
      <c r="J79" s="100">
        <v>10000</v>
      </c>
      <c r="K79" s="72"/>
    </row>
    <row r="80" spans="1:12" ht="16.8" x14ac:dyDescent="0.3">
      <c r="A80" s="3">
        <v>4112314</v>
      </c>
      <c r="B80" s="4" t="s">
        <v>40</v>
      </c>
      <c r="C80" s="72"/>
      <c r="D80" s="9">
        <v>126</v>
      </c>
      <c r="E80" s="62">
        <v>322</v>
      </c>
      <c r="F80" s="54">
        <v>7100</v>
      </c>
      <c r="G80" s="65">
        <v>1000</v>
      </c>
      <c r="H80" s="54">
        <v>11000</v>
      </c>
      <c r="I80" s="54">
        <v>10000</v>
      </c>
      <c r="J80" s="100">
        <v>120000</v>
      </c>
      <c r="K80" s="72"/>
      <c r="L80" s="97"/>
    </row>
    <row r="81" spans="1:12" s="18" customFormat="1" ht="15" x14ac:dyDescent="0.3">
      <c r="A81" s="135" t="s">
        <v>22</v>
      </c>
      <c r="B81" s="135"/>
      <c r="C81" s="73"/>
      <c r="D81" s="14">
        <f>SUM(D74:D80)</f>
        <v>557</v>
      </c>
      <c r="E81" s="59">
        <f t="shared" ref="E81:J81" si="11">SUM(E74:E80)</f>
        <v>1408</v>
      </c>
      <c r="F81" s="57">
        <f t="shared" si="11"/>
        <v>262600</v>
      </c>
      <c r="G81" s="55">
        <f t="shared" si="11"/>
        <v>157900</v>
      </c>
      <c r="H81" s="55">
        <f t="shared" si="11"/>
        <v>670000</v>
      </c>
      <c r="I81" s="55">
        <f t="shared" si="11"/>
        <v>841000</v>
      </c>
      <c r="J81" s="103">
        <f t="shared" si="11"/>
        <v>591500</v>
      </c>
      <c r="K81" s="73"/>
      <c r="L81" s="97"/>
    </row>
    <row r="82" spans="1:12" ht="15" x14ac:dyDescent="0.35">
      <c r="A82" s="37" t="s">
        <v>65</v>
      </c>
      <c r="B82" s="38" t="s">
        <v>66</v>
      </c>
      <c r="C82" s="22"/>
      <c r="D82" s="23"/>
      <c r="E82" s="64">
        <f t="shared" ref="E82:J82" si="12">SUM(E81)</f>
        <v>1408</v>
      </c>
      <c r="F82" s="58">
        <f t="shared" si="12"/>
        <v>262600</v>
      </c>
      <c r="G82" s="58">
        <f t="shared" si="12"/>
        <v>157900</v>
      </c>
      <c r="H82" s="58">
        <f t="shared" si="12"/>
        <v>670000</v>
      </c>
      <c r="I82" s="58">
        <f t="shared" si="12"/>
        <v>841000</v>
      </c>
      <c r="J82" s="106">
        <f t="shared" si="12"/>
        <v>591500</v>
      </c>
      <c r="K82" s="72"/>
      <c r="L82" s="97"/>
    </row>
    <row r="83" spans="1:12" ht="15" x14ac:dyDescent="0.35">
      <c r="A83" s="136" t="s">
        <v>67</v>
      </c>
      <c r="B83" s="136"/>
      <c r="C83" s="118"/>
      <c r="D83" s="119">
        <f>D81+D70+D33</f>
        <v>175473</v>
      </c>
      <c r="E83" s="120">
        <f t="shared" ref="E83:H83" si="13">E82+E70+E33</f>
        <v>183463</v>
      </c>
      <c r="F83" s="120">
        <f t="shared" si="13"/>
        <v>541806</v>
      </c>
      <c r="G83" s="120">
        <f t="shared" si="13"/>
        <v>415386</v>
      </c>
      <c r="H83" s="121">
        <f t="shared" si="13"/>
        <v>1471935</v>
      </c>
      <c r="I83" s="121">
        <f>I82+I70+I33</f>
        <v>1166215</v>
      </c>
      <c r="J83" s="121">
        <f>J82+J70+J33</f>
        <v>970095</v>
      </c>
      <c r="K83" s="94"/>
    </row>
    <row r="84" spans="1:12" ht="15" x14ac:dyDescent="0.35">
      <c r="A84" s="122"/>
      <c r="B84" s="122"/>
      <c r="C84" s="123"/>
      <c r="D84" s="124"/>
      <c r="E84" s="125"/>
      <c r="F84" s="125"/>
      <c r="G84" s="125"/>
      <c r="H84" s="126"/>
      <c r="I84" s="126"/>
      <c r="J84" s="126"/>
      <c r="K84" s="117"/>
    </row>
    <row r="85" spans="1:12" ht="15" x14ac:dyDescent="0.35">
      <c r="A85" s="122"/>
      <c r="B85" s="122"/>
      <c r="C85" s="123"/>
      <c r="D85" s="124"/>
      <c r="E85" s="125"/>
      <c r="F85" s="125"/>
      <c r="G85" s="125"/>
      <c r="H85" s="126"/>
      <c r="I85" s="126"/>
      <c r="J85" s="126"/>
      <c r="K85" s="117"/>
    </row>
    <row r="87" spans="1:12" ht="18" customHeight="1" x14ac:dyDescent="0.3">
      <c r="H87" s="143"/>
      <c r="I87" s="143"/>
      <c r="J87" s="143"/>
      <c r="K87" s="143"/>
    </row>
    <row r="88" spans="1:12" ht="18" customHeight="1" x14ac:dyDescent="0.3">
      <c r="H88" s="143" t="s">
        <v>54</v>
      </c>
      <c r="I88" s="143"/>
      <c r="J88" s="143"/>
      <c r="K88" s="143"/>
      <c r="L88" s="127"/>
    </row>
    <row r="89" spans="1:12" ht="18" customHeight="1" x14ac:dyDescent="0.3">
      <c r="H89" s="143" t="s">
        <v>55</v>
      </c>
      <c r="I89" s="143"/>
      <c r="J89" s="143"/>
      <c r="K89" s="143"/>
      <c r="L89" s="127"/>
    </row>
  </sheetData>
  <mergeCells count="20">
    <mergeCell ref="K6:K7"/>
    <mergeCell ref="H87:K87"/>
    <mergeCell ref="H88:K88"/>
    <mergeCell ref="H89:K89"/>
    <mergeCell ref="A81:B81"/>
    <mergeCell ref="A83:B83"/>
    <mergeCell ref="B6:B7"/>
    <mergeCell ref="D6:E6"/>
    <mergeCell ref="I6:J6"/>
    <mergeCell ref="A6:A7"/>
    <mergeCell ref="A32:B32"/>
    <mergeCell ref="A45:B45"/>
    <mergeCell ref="A49:B49"/>
    <mergeCell ref="A69:B69"/>
    <mergeCell ref="A1:K1"/>
    <mergeCell ref="A2:K2"/>
    <mergeCell ref="A3:K3"/>
    <mergeCell ref="A4:K4"/>
    <mergeCell ref="A5:B5"/>
    <mergeCell ref="H5:K5"/>
  </mergeCells>
  <phoneticPr fontId="18" type="noConversion"/>
  <pageMargins left="0.7" right="0.7" top="0.5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 PC</cp:lastModifiedBy>
  <cp:lastPrinted>2025-01-13T10:17:17Z</cp:lastPrinted>
  <dcterms:created xsi:type="dcterms:W3CDTF">2023-10-12T05:10:17Z</dcterms:created>
  <dcterms:modified xsi:type="dcterms:W3CDTF">2025-11-12T15:11:17Z</dcterms:modified>
</cp:coreProperties>
</file>